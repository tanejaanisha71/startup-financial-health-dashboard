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8774cebcbc63364/Documents/"/>
    </mc:Choice>
  </mc:AlternateContent>
  <xr:revisionPtr revIDLastSave="45" documentId="8_{440FAC46-5347-41BC-A0B1-1995CE93A303}" xr6:coauthVersionLast="47" xr6:coauthVersionMax="47" xr10:uidLastSave="{4BBC3D81-788D-4C7E-A7BE-E43A6271E8E5}"/>
  <bookViews>
    <workbookView xWindow="-108" yWindow="-108" windowWidth="23256" windowHeight="12456" xr2:uid="{8CD53C9F-CA9A-4ED7-A9F3-5824B08CC5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1" l="1"/>
  <c r="J3" i="1"/>
  <c r="K3" i="1"/>
  <c r="I4" i="1"/>
  <c r="J4" i="1"/>
  <c r="K4" i="1"/>
  <c r="I5" i="1"/>
  <c r="J5" i="1"/>
  <c r="K5" i="1"/>
  <c r="I6" i="1"/>
  <c r="J6" i="1"/>
  <c r="K6" i="1"/>
  <c r="I7" i="1"/>
  <c r="J7" i="1"/>
  <c r="K7" i="1"/>
  <c r="I8" i="1"/>
  <c r="J8" i="1"/>
  <c r="K8" i="1"/>
  <c r="I9" i="1"/>
  <c r="J9" i="1"/>
  <c r="K9" i="1"/>
  <c r="I10" i="1"/>
  <c r="J10" i="1"/>
  <c r="K10" i="1"/>
  <c r="I11" i="1"/>
  <c r="J11" i="1"/>
  <c r="K11" i="1"/>
  <c r="I12" i="1"/>
  <c r="J12" i="1"/>
  <c r="K12" i="1"/>
  <c r="I13" i="1"/>
  <c r="J13" i="1"/>
  <c r="K13" i="1"/>
  <c r="K2" i="1"/>
  <c r="J2" i="1"/>
  <c r="I2" i="1"/>
  <c r="H3" i="1"/>
  <c r="H4" i="1"/>
  <c r="H5" i="1"/>
  <c r="H6" i="1"/>
  <c r="H7" i="1"/>
  <c r="H8" i="1"/>
  <c r="H9" i="1"/>
  <c r="H10" i="1"/>
  <c r="H11" i="1"/>
  <c r="H12" i="1"/>
  <c r="H13" i="1"/>
  <c r="H2" i="1"/>
</calcChain>
</file>

<file path=xl/sharedStrings.xml><?xml version="1.0" encoding="utf-8"?>
<sst xmlns="http://schemas.openxmlformats.org/spreadsheetml/2006/main" count="38" uniqueCount="29">
  <si>
    <t>Month</t>
  </si>
  <si>
    <t>Revenue</t>
  </si>
  <si>
    <t>Fixed_Cost</t>
  </si>
  <si>
    <t>Variable_Cost</t>
  </si>
  <si>
    <t>Marketing_Spend</t>
  </si>
  <si>
    <t>Customers</t>
  </si>
  <si>
    <t>Cash_Balance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</si>
  <si>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</si>
  <si>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</si>
  <si>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</si>
  <si>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</si>
  <si>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</si>
  <si>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</si>
  <si>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</si>
  <si>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</si>
  <si>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</si>
  <si>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</si>
  <si>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</si>
  <si>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</si>
  <si>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Total_Cost</t>
  </si>
  <si>
    <t>Profit</t>
  </si>
  <si>
    <t>CAC (Customer Acquisition Cost)</t>
  </si>
  <si>
    <t>Revenue_per_Customer</t>
  </si>
  <si>
    <t>Channel</t>
  </si>
  <si>
    <t>Paid Ads</t>
  </si>
  <si>
    <t>Organic</t>
  </si>
  <si>
    <t>Referral</t>
  </si>
  <si>
    <t>Month_Number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</si>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</sst>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 wrapText="1"/>
    </xf>
    <xf numFmtId="1" fontId="0" fillId="0" borderId="0" xfId="0" applyNumberFormat="1"/>
    <xf numFmtId="1" fontId="0" fillId="0" borderId="0" xfId="0" applyNumberFormat="1" applyAlignment="1">
      <alignment vertical="center" wrapText="1"/>
    </xf>
    <xf numFmtId="14" fontId="0" fillId="0" borderId="0" xfId="0" applyNumberFormat="1"/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AC821-007D-4C4A-9211-D030523C0EA9}">
  <dimension ref="A1:S13"/>
  <sheetViews>
    <sheetView tabSelected="1" workbookViewId="0">
      <selection activeCell="N14" sqref="N14"/>
    </sheetView>
  </sheetViews>
  <sheetFormatPr defaultRowHeight="14.4" x14ac:dyDescent="0.3"/>
  <cols>
    <col min="2" max="2" width="9.5546875" bestFit="1" customWidth="1"/>
    <col min="3" max="6" width="9" bestFit="1" customWidth="1"/>
    <col min="7" max="8" width="9.5546875" bestFit="1" customWidth="1"/>
    <col min="9" max="9" width="10.6640625" bestFit="1" customWidth="1"/>
    <col min="10" max="11" width="9.109375" bestFit="1" customWidth="1"/>
    <col min="14" max="14" width="10.33203125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27</v>
      </c>
      <c r="N1" t="s">
        <v>28</v>
      </c>
    </row>
    <row r="2" spans="1:19" x14ac:dyDescent="0.3">
      <c r="A2" s="1" t="s">
        <v>7</v>
      </c>
      <c r="B2" s="3">
        <v>100000</v>
      </c>
      <c r="C2" s="3">
        <v>40000</v>
      </c>
      <c r="D2" s="3">
        <v>20000</v>
      </c>
      <c r="E2" s="3">
        <v>15000</v>
      </c>
      <c r="F2" s="3">
        <v>500</v>
      </c>
      <c r="G2" s="3">
        <v>500000</v>
      </c>
      <c r="H2" s="2">
        <f>C2+D2</f>
        <v>60000</v>
      </c>
      <c r="I2" s="2">
        <f>B2-H2-E2</f>
        <v>25000</v>
      </c>
      <c r="J2" s="2">
        <f>E2/F2</f>
        <v>30</v>
      </c>
      <c r="K2" s="2">
        <f>B2/F2</f>
        <v>200</v>
      </c>
      <c r="L2" t="s">
        <v>24</v>
      </c>
      <c r="M2">
        <v>1</v>
      </c>
      <c r="N2" s="4">
        <v>45658</v>
      </c>
    </row>
    <row r="3" spans="1:19" x14ac:dyDescent="0.3">
      <c r="A3" s="1" t="s">
        <v>8</v>
      </c>
      <c r="B3" s="3">
        <v>120000</v>
      </c>
      <c r="C3" s="3">
        <v>40000</v>
      </c>
      <c r="D3" s="3">
        <v>25000</v>
      </c>
      <c r="E3" s="3">
        <v>18000</v>
      </c>
      <c r="F3" s="3">
        <v>600</v>
      </c>
      <c r="G3" s="3">
        <v>480000</v>
      </c>
      <c r="H3" s="2">
        <f t="shared" ref="H3:H13" si="0">C3+D3</f>
        <v>65000</v>
      </c>
      <c r="I3" s="2">
        <f t="shared" ref="I3:I13" si="1">B3-H3-E3</f>
        <v>37000</v>
      </c>
      <c r="J3" s="2">
        <f t="shared" ref="J3:J13" si="2">E3/F3</f>
        <v>30</v>
      </c>
      <c r="K3" s="2">
        <f t="shared" ref="K3:K13" si="3">B3/F3</f>
        <v>200</v>
      </c>
      <c r="L3" t="s">
        <v>25</v>
      </c>
      <c r="M3">
        <v>2</v>
      </c>
      <c r="N3" s="5">
        <v>45689</v>
      </c>
    </row>
    <row r="4" spans="1:19" x14ac:dyDescent="0.3">
      <c r="A4" s="1" t="s">
        <v>9</v>
      </c>
      <c r="B4" s="3">
        <v>140000</v>
      </c>
      <c r="C4" s="3">
        <v>40000</v>
      </c>
      <c r="D4" s="3">
        <v>30000</v>
      </c>
      <c r="E4" s="3">
        <v>20000</v>
      </c>
      <c r="F4" s="3">
        <v>750</v>
      </c>
      <c r="G4" s="3">
        <v>450000</v>
      </c>
      <c r="H4" s="2">
        <f t="shared" si="0"/>
        <v>70000</v>
      </c>
      <c r="I4" s="2">
        <f t="shared" si="1"/>
        <v>50000</v>
      </c>
      <c r="J4" s="2">
        <f t="shared" si="2"/>
        <v>26.666666666666668</v>
      </c>
      <c r="K4" s="2">
        <f t="shared" si="3"/>
        <v>186.66666666666666</v>
      </c>
      <c r="L4" t="s">
        <v>25</v>
      </c>
      <c r="M4">
        <v>3</v>
      </c>
      <c r="N4" s="5">
        <v>45717</v>
      </c>
    </row>
    <row r="5" spans="1:19" x14ac:dyDescent="0.3">
      <c r="A5" s="1" t="s">
        <v>10</v>
      </c>
      <c r="B5" s="3">
        <v>160000</v>
      </c>
      <c r="C5" s="3">
        <v>42000</v>
      </c>
      <c r="D5" s="3">
        <v>35000</v>
      </c>
      <c r="E5" s="3">
        <v>22000</v>
      </c>
      <c r="F5" s="3">
        <v>900</v>
      </c>
      <c r="G5" s="3">
        <v>420000</v>
      </c>
      <c r="H5" s="2">
        <f t="shared" si="0"/>
        <v>77000</v>
      </c>
      <c r="I5" s="2">
        <f t="shared" si="1"/>
        <v>61000</v>
      </c>
      <c r="J5" s="2">
        <f t="shared" si="2"/>
        <v>24.444444444444443</v>
      </c>
      <c r="K5" s="2">
        <f t="shared" si="3"/>
        <v>177.77777777777777</v>
      </c>
      <c r="L5" t="s">
        <v>25</v>
      </c>
      <c r="M5">
        <v>4</v>
      </c>
      <c r="N5" s="5">
        <v>45748</v>
      </c>
    </row>
    <row r="6" spans="1:19" x14ac:dyDescent="0.3">
      <c r="A6" s="1" t="s">
        <v>11</v>
      </c>
      <c r="B6" s="3">
        <v>180000</v>
      </c>
      <c r="C6" s="3">
        <v>42000</v>
      </c>
      <c r="D6" s="3">
        <v>40000</v>
      </c>
      <c r="E6" s="3">
        <v>25000</v>
      </c>
      <c r="F6" s="3">
        <v>1100</v>
      </c>
      <c r="G6" s="3">
        <v>380000</v>
      </c>
      <c r="H6" s="2">
        <f t="shared" si="0"/>
        <v>82000</v>
      </c>
      <c r="I6" s="2">
        <f t="shared" si="1"/>
        <v>73000</v>
      </c>
      <c r="J6" s="2">
        <f t="shared" si="2"/>
        <v>22.727272727272727</v>
      </c>
      <c r="K6" s="2">
        <f t="shared" si="3"/>
        <v>163.63636363636363</v>
      </c>
      <c r="L6" t="s">
        <v>26</v>
      </c>
      <c r="M6">
        <v>5</v>
      </c>
      <c r="N6" s="5">
        <v>45778</v>
      </c>
    </row>
    <row r="7" spans="1:19" x14ac:dyDescent="0.3">
      <c r="A7" s="1" t="s">
        <v>12</v>
      </c>
      <c r="B7" s="3">
        <v>200000</v>
      </c>
      <c r="C7" s="3">
        <v>45000</v>
      </c>
      <c r="D7" s="3">
        <v>45000</v>
      </c>
      <c r="E7" s="3">
        <v>28000</v>
      </c>
      <c r="F7" s="3">
        <v>1300</v>
      </c>
      <c r="G7" s="3">
        <v>330000</v>
      </c>
      <c r="H7" s="2">
        <f t="shared" si="0"/>
        <v>90000</v>
      </c>
      <c r="I7" s="2">
        <f t="shared" si="1"/>
        <v>82000</v>
      </c>
      <c r="J7" s="2">
        <f t="shared" si="2"/>
        <v>21.53846153846154</v>
      </c>
      <c r="K7" s="2">
        <f t="shared" si="3"/>
        <v>153.84615384615384</v>
      </c>
      <c r="L7" t="s">
        <v>26</v>
      </c>
      <c r="M7">
        <v>6</v>
      </c>
      <c r="N7" s="5">
        <v>45809</v>
      </c>
    </row>
    <row r="8" spans="1:19" x14ac:dyDescent="0.3">
      <c r="A8" s="1" t="s">
        <v>13</v>
      </c>
      <c r="B8" s="3">
        <v>220000</v>
      </c>
      <c r="C8" s="3">
        <v>45000</v>
      </c>
      <c r="D8" s="3">
        <v>50000</v>
      </c>
      <c r="E8" s="3">
        <v>30000</v>
      </c>
      <c r="F8" s="3">
        <v>1500</v>
      </c>
      <c r="G8" s="3">
        <v>280000</v>
      </c>
      <c r="H8" s="2">
        <f t="shared" si="0"/>
        <v>95000</v>
      </c>
      <c r="I8" s="2">
        <f t="shared" si="1"/>
        <v>95000</v>
      </c>
      <c r="J8" s="2">
        <f t="shared" si="2"/>
        <v>20</v>
      </c>
      <c r="K8" s="2">
        <f t="shared" si="3"/>
        <v>146.66666666666666</v>
      </c>
      <c r="L8" t="s">
        <v>24</v>
      </c>
      <c r="M8">
        <v>7</v>
      </c>
      <c r="N8" s="5">
        <v>45839</v>
      </c>
    </row>
    <row r="9" spans="1:19" x14ac:dyDescent="0.3">
      <c r="A9" s="1" t="s">
        <v>14</v>
      </c>
      <c r="B9" s="3">
        <v>210000</v>
      </c>
      <c r="C9" s="3">
        <v>45000</v>
      </c>
      <c r="D9" s="3">
        <v>48000</v>
      </c>
      <c r="E9" s="3">
        <v>27000</v>
      </c>
      <c r="F9" s="3">
        <v>1400</v>
      </c>
      <c r="G9" s="3">
        <v>250000</v>
      </c>
      <c r="H9" s="2">
        <f t="shared" si="0"/>
        <v>93000</v>
      </c>
      <c r="I9" s="2">
        <f t="shared" si="1"/>
        <v>90000</v>
      </c>
      <c r="J9" s="2">
        <f t="shared" si="2"/>
        <v>19.285714285714285</v>
      </c>
      <c r="K9" s="2">
        <f t="shared" si="3"/>
        <v>150</v>
      </c>
      <c r="L9" t="s">
        <v>25</v>
      </c>
      <c r="M9">
        <v>8</v>
      </c>
      <c r="N9" s="5">
        <v>45870</v>
      </c>
    </row>
    <row r="10" spans="1:19" x14ac:dyDescent="0.3">
      <c r="A10" s="1" t="s">
        <v>15</v>
      </c>
      <c r="B10" s="3">
        <v>230000</v>
      </c>
      <c r="C10" s="3">
        <v>47000</v>
      </c>
      <c r="D10" s="3">
        <v>52000</v>
      </c>
      <c r="E10" s="3">
        <v>32000</v>
      </c>
      <c r="F10" s="3">
        <v>1600</v>
      </c>
      <c r="G10" s="3">
        <v>200000</v>
      </c>
      <c r="H10" s="2">
        <f t="shared" si="0"/>
        <v>99000</v>
      </c>
      <c r="I10" s="2">
        <f t="shared" si="1"/>
        <v>99000</v>
      </c>
      <c r="J10" s="2">
        <f t="shared" si="2"/>
        <v>20</v>
      </c>
      <c r="K10" s="2">
        <f t="shared" si="3"/>
        <v>143.75</v>
      </c>
      <c r="L10" t="s">
        <v>26</v>
      </c>
      <c r="M10">
        <v>9</v>
      </c>
      <c r="N10" s="5">
        <v>45901</v>
      </c>
    </row>
    <row r="11" spans="1:19" x14ac:dyDescent="0.3">
      <c r="A11" s="1" t="s">
        <v>16</v>
      </c>
      <c r="B11" s="3">
        <v>250000</v>
      </c>
      <c r="C11" s="3">
        <v>47000</v>
      </c>
      <c r="D11" s="3">
        <v>55000</v>
      </c>
      <c r="E11" s="3">
        <v>35000</v>
      </c>
      <c r="F11" s="3">
        <v>1800</v>
      </c>
      <c r="G11" s="3">
        <v>150000</v>
      </c>
      <c r="H11" s="2">
        <f t="shared" si="0"/>
        <v>102000</v>
      </c>
      <c r="I11" s="2">
        <f t="shared" si="1"/>
        <v>113000</v>
      </c>
      <c r="J11" s="2">
        <f t="shared" si="2"/>
        <v>19.444444444444443</v>
      </c>
      <c r="K11" s="2">
        <f t="shared" si="3"/>
        <v>138.88888888888889</v>
      </c>
      <c r="L11" t="s">
        <v>24</v>
      </c>
      <c r="M11">
        <v>10</v>
      </c>
      <c r="N11" s="5">
        <v>45931</v>
      </c>
      <c r="S11" s="5"/>
    </row>
    <row r="12" spans="1:19" x14ac:dyDescent="0.3">
      <c r="A12" s="1" t="s">
        <v>17</v>
      </c>
      <c r="B12" s="3">
        <v>270000</v>
      </c>
      <c r="C12" s="3">
        <v>50000</v>
      </c>
      <c r="D12" s="3">
        <v>60000</v>
      </c>
      <c r="E12" s="3">
        <v>38000</v>
      </c>
      <c r="F12" s="3">
        <v>2000</v>
      </c>
      <c r="G12" s="3">
        <v>90000</v>
      </c>
      <c r="H12" s="2">
        <f t="shared" si="0"/>
        <v>110000</v>
      </c>
      <c r="I12" s="2">
        <f t="shared" si="1"/>
        <v>122000</v>
      </c>
      <c r="J12" s="2">
        <f t="shared" si="2"/>
        <v>19</v>
      </c>
      <c r="K12" s="2">
        <f t="shared" si="3"/>
        <v>135</v>
      </c>
      <c r="L12" t="s">
        <v>24</v>
      </c>
      <c r="M12">
        <v>11</v>
      </c>
      <c r="N12" s="5">
        <v>45962</v>
      </c>
      <c r="S12" s="1"/>
    </row>
    <row r="13" spans="1:19" x14ac:dyDescent="0.3">
      <c r="A13" s="1" t="s">
        <v>18</v>
      </c>
      <c r="B13" s="3">
        <v>300000</v>
      </c>
      <c r="C13" s="3">
        <v>50000</v>
      </c>
      <c r="D13" s="3">
        <v>65000</v>
      </c>
      <c r="E13" s="3">
        <v>40000</v>
      </c>
      <c r="F13" s="3">
        <v>2300</v>
      </c>
      <c r="G13" s="3">
        <v>40000</v>
      </c>
      <c r="H13" s="2">
        <f t="shared" si="0"/>
        <v>115000</v>
      </c>
      <c r="I13" s="2">
        <f t="shared" si="1"/>
        <v>145000</v>
      </c>
      <c r="J13" s="2">
        <f t="shared" si="2"/>
        <v>17.391304347826086</v>
      </c>
      <c r="K13" s="2">
        <f t="shared" si="3"/>
        <v>130.43478260869566</v>
      </c>
      <c r="L13" t="s">
        <v>26</v>
      </c>
      <c r="M13">
        <v>12</v>
      </c>
      <c r="N13" s="5">
        <v>45992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Anisha Taneja</dc:creator>
  <cp:lastModifiedBy>Anisha Taneja</cp:lastModifiedBy>
  <dcterms:created xsi:type="dcterms:W3CDTF">2026-05-06T17:00:24Z</dcterms:created>
  <dcterms:modified xsi:type="dcterms:W3CDTF">2026-05-09T19:08:03Z</dcterms:modified>
</cp:coreProperties>
</file>